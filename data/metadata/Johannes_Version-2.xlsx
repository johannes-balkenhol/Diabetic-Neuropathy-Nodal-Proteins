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People\Vinicus_DaCruz\cardiomyopathy\data\raw_data\"/>
    </mc:Choice>
  </mc:AlternateContent>
  <xr:revisionPtr revIDLastSave="0" documentId="13_ncr:1_{B0044075-2F0F-43B3-BB3A-FD6F7685AA62}" xr6:coauthVersionLast="47" xr6:coauthVersionMax="47" xr10:uidLastSave="{00000000-0000-0000-0000-000000000000}"/>
  <bookViews>
    <workbookView xWindow="-110" yWindow="-110" windowWidth="25820" windowHeight="15620" xr2:uid="{36E05792-5362-4B88-B916-0CBA6E6556C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8" i="2"/>
</calcChain>
</file>

<file path=xl/sharedStrings.xml><?xml version="1.0" encoding="utf-8"?>
<sst xmlns="http://schemas.openxmlformats.org/spreadsheetml/2006/main" count="289" uniqueCount="156">
  <si>
    <t>DB47713</t>
  </si>
  <si>
    <t>male</t>
  </si>
  <si>
    <t>330.02(±160)</t>
  </si>
  <si>
    <t>DB28513</t>
  </si>
  <si>
    <t>413.51(±167)</t>
  </si>
  <si>
    <t>532.12(±157)</t>
  </si>
  <si>
    <t>DB45913</t>
  </si>
  <si>
    <t>542.21(±152)</t>
  </si>
  <si>
    <t>189.21(±81)</t>
  </si>
  <si>
    <t>DB67312</t>
  </si>
  <si>
    <t>231.60(±92)</t>
  </si>
  <si>
    <t>DB85312</t>
  </si>
  <si>
    <t>387.41(±160)</t>
  </si>
  <si>
    <t>316(±145)</t>
  </si>
  <si>
    <t>DB6213</t>
  </si>
  <si>
    <t>226.49 (±58)</t>
  </si>
  <si>
    <t>299.43(±135)</t>
  </si>
  <si>
    <t>DB10613</t>
  </si>
  <si>
    <t>311.98587 (±107)</t>
  </si>
  <si>
    <t>331.21(±136)</t>
  </si>
  <si>
    <t>DB82112</t>
  </si>
  <si>
    <t>275.00(±100)</t>
  </si>
  <si>
    <t>314.86 (±156)</t>
  </si>
  <si>
    <t>Group (1=diabetic neuropathy, 2=diabetes without neuropathy, 0=control)</t>
  </si>
  <si>
    <t>diabetes type</t>
  </si>
  <si>
    <t>age</t>
  </si>
  <si>
    <t>sex</t>
  </si>
  <si>
    <t>Duration of Disease (months)</t>
  </si>
  <si>
    <t>SNAP (sural nerve)</t>
  </si>
  <si>
    <t>HbA1c (%)</t>
  </si>
  <si>
    <t>NIS-LL</t>
  </si>
  <si>
    <t>SAS</t>
  </si>
  <si>
    <t>NPSI</t>
  </si>
  <si>
    <t>IENFD(per mm)</t>
  </si>
  <si>
    <t>DB553/13</t>
  </si>
  <si>
    <t>420.90 (±225)</t>
  </si>
  <si>
    <t>331.44 (±156)</t>
  </si>
  <si>
    <t>DB1034/13</t>
  </si>
  <si>
    <t>2</t>
  </si>
  <si>
    <t>55</t>
  </si>
  <si>
    <t>6,1</t>
  </si>
  <si>
    <t>0</t>
  </si>
  <si>
    <t>DB1091/13</t>
  </si>
  <si>
    <t>DB11/14</t>
  </si>
  <si>
    <t>293.13 (±175)</t>
  </si>
  <si>
    <t>291.35 (±116)</t>
  </si>
  <si>
    <t>DB67/14</t>
  </si>
  <si>
    <t>1</t>
  </si>
  <si>
    <t>56</t>
  </si>
  <si>
    <t>360</t>
  </si>
  <si>
    <t>10,1</t>
  </si>
  <si>
    <t>8</t>
  </si>
  <si>
    <t>4,91</t>
  </si>
  <si>
    <t>DB374/14</t>
  </si>
  <si>
    <t>317.91 (±112)</t>
  </si>
  <si>
    <t>DB385/14</t>
  </si>
  <si>
    <t>84</t>
  </si>
  <si>
    <t>female</t>
  </si>
  <si>
    <t>156</t>
  </si>
  <si>
    <t>7,1</t>
  </si>
  <si>
    <t>6</t>
  </si>
  <si>
    <t>12</t>
  </si>
  <si>
    <t>1,91</t>
  </si>
  <si>
    <t>DB420/14</t>
  </si>
  <si>
    <t>72</t>
  </si>
  <si>
    <t>120</t>
  </si>
  <si>
    <t>3,1</t>
  </si>
  <si>
    <t>6,6</t>
  </si>
  <si>
    <t>7</t>
  </si>
  <si>
    <t>3,03</t>
  </si>
  <si>
    <t>308.91(±159)</t>
  </si>
  <si>
    <t>310.50 (±143)</t>
  </si>
  <si>
    <t>DB468/14</t>
  </si>
  <si>
    <t>80</t>
  </si>
  <si>
    <t>168</t>
  </si>
  <si>
    <t>5</t>
  </si>
  <si>
    <t>0,14</t>
  </si>
  <si>
    <t>369.97 (±145)</t>
  </si>
  <si>
    <t>DB573/14</t>
  </si>
  <si>
    <t>24</t>
  </si>
  <si>
    <t>3,5</t>
  </si>
  <si>
    <t>9</t>
  </si>
  <si>
    <t>3</t>
  </si>
  <si>
    <t>12,06</t>
  </si>
  <si>
    <t>423.20 (±232)</t>
  </si>
  <si>
    <t>228.86(±56)</t>
  </si>
  <si>
    <t>DB664/14</t>
  </si>
  <si>
    <t>73</t>
  </si>
  <si>
    <t>108</t>
  </si>
  <si>
    <t>1,6</t>
  </si>
  <si>
    <t>8,1</t>
  </si>
  <si>
    <t>10,5</t>
  </si>
  <si>
    <t>5,69</t>
  </si>
  <si>
    <t>327.62(±161)</t>
  </si>
  <si>
    <t>278.06 (±115)</t>
  </si>
  <si>
    <t>DB94513</t>
  </si>
  <si>
    <t>253.19 (±113)</t>
  </si>
  <si>
    <t>280.91 (±94)</t>
  </si>
  <si>
    <t>DB83813</t>
  </si>
  <si>
    <t>306.60 (±119)</t>
  </si>
  <si>
    <t>288.27 (±113)</t>
  </si>
  <si>
    <t>DB81513</t>
  </si>
  <si>
    <t>313.31 (±145)</t>
  </si>
  <si>
    <t>DB10913</t>
  </si>
  <si>
    <t>281.40 (±128)</t>
  </si>
  <si>
    <t>600</t>
  </si>
  <si>
    <t>456(±153)</t>
  </si>
  <si>
    <t>511.12(±147)</t>
  </si>
  <si>
    <t xml:space="preserve">Caspr1 periodicity , mean (±SD) </t>
  </si>
  <si>
    <t xml:space="preserve">NF186 periodicity, mean (±SD) </t>
  </si>
  <si>
    <t xml:space="preserve">NF155 periodicity, mean (±SD) </t>
  </si>
  <si>
    <t>331.85 (±85)</t>
  </si>
  <si>
    <t>413.51 (±167)</t>
  </si>
  <si>
    <t>542.21 (±152)</t>
  </si>
  <si>
    <t>387.41 (±160)</t>
  </si>
  <si>
    <t>144</t>
  </si>
  <si>
    <t>HC54813</t>
  </si>
  <si>
    <t>200.74  (±26)</t>
  </si>
  <si>
    <t>HC114014</t>
  </si>
  <si>
    <t>186.97661(±15)</t>
  </si>
  <si>
    <t>205.34(±25)</t>
  </si>
  <si>
    <t>HC18623</t>
  </si>
  <si>
    <t>189.57(±32)</t>
  </si>
  <si>
    <t>175.42(±40)</t>
  </si>
  <si>
    <t>HC54013</t>
  </si>
  <si>
    <t>174.72118(±42)</t>
  </si>
  <si>
    <t>250.75(±88)</t>
  </si>
  <si>
    <t>HC28213</t>
  </si>
  <si>
    <t>222.46(±45)</t>
  </si>
  <si>
    <t>223.23 (±54)</t>
  </si>
  <si>
    <t>HC87113</t>
  </si>
  <si>
    <t>186.28 (±41)</t>
  </si>
  <si>
    <t>HC91813</t>
  </si>
  <si>
    <t>211.57 (±62)</t>
  </si>
  <si>
    <t>HC47814</t>
  </si>
  <si>
    <t>179.23 (±23)</t>
  </si>
  <si>
    <t>229.42 (±37)</t>
  </si>
  <si>
    <t>HC73512</t>
  </si>
  <si>
    <t>209.19 (±65)</t>
  </si>
  <si>
    <t>HC8413</t>
  </si>
  <si>
    <t>239.88(±102)</t>
  </si>
  <si>
    <t>HC8813</t>
  </si>
  <si>
    <t>181.36(±39)</t>
  </si>
  <si>
    <t>HC36014</t>
  </si>
  <si>
    <t>216.80(±59)</t>
  </si>
  <si>
    <t>HC52414</t>
  </si>
  <si>
    <t>252.82 (±58)</t>
  </si>
  <si>
    <t>HC56614</t>
  </si>
  <si>
    <t>180.66 (±43)</t>
  </si>
  <si>
    <t>214.24 (±49)</t>
  </si>
  <si>
    <t>200.97 (±83)</t>
  </si>
  <si>
    <t>248.23 (±57)</t>
  </si>
  <si>
    <t>189.75 (±41)</t>
  </si>
  <si>
    <t>205.11 (±44)</t>
  </si>
  <si>
    <t>174.10 (±66)</t>
  </si>
  <si>
    <t>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</si>
</sst>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95C9-7150-43F7-9B9E-E5C2898400C6}">
  <dimension ref="A1:O38"/>
  <sheetViews>
    <sheetView tabSelected="1" topLeftCell="B1" zoomScale="55" zoomScaleNormal="55" workbookViewId="0">
      <selection activeCell="H25" sqref="H25"/>
    </sheetView>
  </sheetViews>
  <sheetFormatPr defaultRowHeight="14.5" x14ac:dyDescent="0.35"/>
  <cols>
    <col min="1" max="1" width="37.26953125" customWidth="1"/>
    <col min="2" max="2" width="105.54296875" customWidth="1"/>
    <col min="3" max="3" width="56.26953125" customWidth="1"/>
    <col min="6" max="6" width="43" bestFit="1" customWidth="1"/>
    <col min="7" max="7" width="39.81640625" customWidth="1"/>
    <col min="8" max="8" width="31" customWidth="1"/>
    <col min="9" max="9" width="27.1796875" customWidth="1"/>
    <col min="10" max="10" width="12.7265625" customWidth="1"/>
    <col min="11" max="11" width="15.453125" customWidth="1"/>
    <col min="12" max="12" width="27.26953125" customWidth="1"/>
    <col min="13" max="13" width="48.1796875" customWidth="1"/>
    <col min="14" max="14" width="56.453125" customWidth="1"/>
    <col min="15" max="15" width="60.1796875" customWidth="1"/>
  </cols>
  <sheetData>
    <row r="1" spans="1:15" ht="20" x14ac:dyDescent="0.4">
      <c r="A1" s="3" t="s">
        <v>155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8" t="s">
        <v>30</v>
      </c>
      <c r="J1" s="8" t="s">
        <v>31</v>
      </c>
      <c r="K1" s="8" t="s">
        <v>32</v>
      </c>
      <c r="L1" s="1" t="s">
        <v>33</v>
      </c>
      <c r="M1" s="1" t="s">
        <v>110</v>
      </c>
      <c r="N1" s="1" t="s">
        <v>109</v>
      </c>
      <c r="O1" s="1" t="s">
        <v>108</v>
      </c>
    </row>
    <row r="2" spans="1:15" ht="20" x14ac:dyDescent="0.4">
      <c r="A2" s="3" t="s">
        <v>0</v>
      </c>
      <c r="B2" s="1" t="s">
        <v>47</v>
      </c>
      <c r="C2" s="1" t="s">
        <v>47</v>
      </c>
      <c r="D2" s="1">
        <v>75</v>
      </c>
      <c r="E2" s="1" t="s">
        <v>1</v>
      </c>
      <c r="F2" s="1" t="s">
        <v>115</v>
      </c>
      <c r="G2" s="1">
        <v>6.1</v>
      </c>
      <c r="H2" s="1">
        <v>6.7</v>
      </c>
      <c r="I2" s="8">
        <v>4</v>
      </c>
      <c r="J2" s="8">
        <v>5</v>
      </c>
      <c r="K2" s="8">
        <v>18</v>
      </c>
      <c r="L2" s="1">
        <v>3.82</v>
      </c>
      <c r="M2" s="1" t="s">
        <v>111</v>
      </c>
      <c r="N2" s="1" t="s">
        <v>111</v>
      </c>
      <c r="O2" s="1" t="s">
        <v>2</v>
      </c>
    </row>
    <row r="3" spans="1:15" ht="20" x14ac:dyDescent="0.4">
      <c r="A3" s="3" t="s">
        <v>3</v>
      </c>
      <c r="B3" s="1">
        <v>1</v>
      </c>
      <c r="C3" s="1">
        <v>2</v>
      </c>
      <c r="D3" s="1">
        <v>66</v>
      </c>
      <c r="E3" s="1" t="s">
        <v>1</v>
      </c>
      <c r="F3" s="1">
        <v>75</v>
      </c>
      <c r="G3" s="1">
        <v>0</v>
      </c>
      <c r="H3" s="1">
        <v>4.9000000000000004</v>
      </c>
      <c r="I3" s="8">
        <v>15</v>
      </c>
      <c r="J3" s="8">
        <v>32</v>
      </c>
      <c r="K3" s="8">
        <v>33</v>
      </c>
      <c r="L3" s="1">
        <v>1.93</v>
      </c>
      <c r="M3" s="1" t="s">
        <v>112</v>
      </c>
      <c r="N3" s="1" t="s">
        <v>4</v>
      </c>
      <c r="O3" s="1" t="s">
        <v>5</v>
      </c>
    </row>
    <row r="4" spans="1:15" ht="20" x14ac:dyDescent="0.4">
      <c r="A4" s="3" t="s">
        <v>6</v>
      </c>
      <c r="B4" s="1">
        <v>2</v>
      </c>
      <c r="C4" s="1">
        <v>2</v>
      </c>
      <c r="D4" s="1">
        <v>63</v>
      </c>
      <c r="E4" s="1" t="s">
        <v>1</v>
      </c>
      <c r="F4" s="1">
        <v>11</v>
      </c>
      <c r="G4" s="1">
        <v>34.299999999999997</v>
      </c>
      <c r="H4" s="1">
        <v>5.3</v>
      </c>
      <c r="I4" s="8">
        <v>0</v>
      </c>
      <c r="J4" s="8">
        <v>2</v>
      </c>
      <c r="K4" s="8">
        <v>0</v>
      </c>
      <c r="L4" s="1">
        <v>3.76</v>
      </c>
      <c r="M4" s="1" t="s">
        <v>113</v>
      </c>
      <c r="N4" s="1" t="s">
        <v>7</v>
      </c>
      <c r="O4" s="1" t="s">
        <v>8</v>
      </c>
    </row>
    <row r="5" spans="1:15" ht="20" x14ac:dyDescent="0.4">
      <c r="A5" s="3" t="s">
        <v>9</v>
      </c>
      <c r="B5" s="1">
        <v>2</v>
      </c>
      <c r="C5" s="1">
        <v>2</v>
      </c>
      <c r="D5" s="1">
        <v>72</v>
      </c>
      <c r="E5" s="1" t="s">
        <v>1</v>
      </c>
      <c r="F5" s="1">
        <v>180</v>
      </c>
      <c r="G5" s="1">
        <v>6.3</v>
      </c>
      <c r="H5" s="1">
        <v>7.8</v>
      </c>
      <c r="I5" s="8">
        <v>1</v>
      </c>
      <c r="J5" s="8">
        <v>0</v>
      </c>
      <c r="K5" s="8">
        <v>0</v>
      </c>
      <c r="L5" s="1">
        <v>1.72</v>
      </c>
      <c r="M5" s="1"/>
      <c r="N5" s="1"/>
      <c r="O5" s="1" t="s">
        <v>10</v>
      </c>
    </row>
    <row r="6" spans="1:15" ht="20" x14ac:dyDescent="0.4">
      <c r="A6" s="3" t="s">
        <v>11</v>
      </c>
      <c r="B6" s="1">
        <v>1</v>
      </c>
      <c r="C6" s="1">
        <v>2</v>
      </c>
      <c r="D6" s="1">
        <v>70</v>
      </c>
      <c r="E6" s="1" t="s">
        <v>1</v>
      </c>
      <c r="F6" s="1">
        <v>18</v>
      </c>
      <c r="G6" s="1">
        <v>3.1</v>
      </c>
      <c r="H6" s="1">
        <v>7</v>
      </c>
      <c r="I6" s="8">
        <v>13</v>
      </c>
      <c r="J6" s="8">
        <v>1</v>
      </c>
      <c r="K6" s="8">
        <v>5</v>
      </c>
      <c r="L6" s="1">
        <v>1.06</v>
      </c>
      <c r="M6" s="1" t="s">
        <v>114</v>
      </c>
      <c r="N6" s="1" t="s">
        <v>12</v>
      </c>
      <c r="O6" s="1" t="s">
        <v>13</v>
      </c>
    </row>
    <row r="7" spans="1:15" ht="20" x14ac:dyDescent="0.4">
      <c r="A7" s="3" t="s">
        <v>14</v>
      </c>
      <c r="B7" s="1">
        <v>2</v>
      </c>
      <c r="C7" s="1">
        <v>2</v>
      </c>
      <c r="D7" s="1">
        <v>54</v>
      </c>
      <c r="E7" s="1" t="s">
        <v>1</v>
      </c>
      <c r="F7" s="1">
        <v>144</v>
      </c>
      <c r="G7" s="1">
        <v>13.4</v>
      </c>
      <c r="H7" s="1">
        <v>7.1</v>
      </c>
      <c r="I7" s="8">
        <v>0</v>
      </c>
      <c r="J7" s="8">
        <v>12</v>
      </c>
      <c r="K7" s="8">
        <v>0</v>
      </c>
      <c r="L7" s="1">
        <v>3.38</v>
      </c>
      <c r="M7" s="1" t="s">
        <v>15</v>
      </c>
      <c r="N7" s="1" t="s">
        <v>15</v>
      </c>
      <c r="O7" s="3" t="s">
        <v>16</v>
      </c>
    </row>
    <row r="8" spans="1:15" ht="20" x14ac:dyDescent="0.4">
      <c r="A8" s="3" t="s">
        <v>17</v>
      </c>
      <c r="B8" s="1">
        <v>1</v>
      </c>
      <c r="C8" s="1">
        <v>2</v>
      </c>
      <c r="D8" s="1">
        <v>69</v>
      </c>
      <c r="E8" s="1" t="s">
        <v>1</v>
      </c>
      <c r="F8" s="1">
        <v>11</v>
      </c>
      <c r="G8" s="1">
        <v>2</v>
      </c>
      <c r="H8" s="1">
        <v>9.8000000000000007</v>
      </c>
      <c r="I8" s="8">
        <v>5</v>
      </c>
      <c r="J8" s="8">
        <v>10</v>
      </c>
      <c r="K8" s="8">
        <v>12</v>
      </c>
      <c r="L8" s="1">
        <v>0.25</v>
      </c>
      <c r="M8" s="1" t="s">
        <v>18</v>
      </c>
      <c r="N8" s="1" t="s">
        <v>18</v>
      </c>
      <c r="O8" s="4" t="s">
        <v>19</v>
      </c>
    </row>
    <row r="9" spans="1:15" ht="20" x14ac:dyDescent="0.4">
      <c r="A9" s="3" t="s">
        <v>20</v>
      </c>
      <c r="B9" s="1">
        <v>1</v>
      </c>
      <c r="C9" s="1">
        <v>2</v>
      </c>
      <c r="D9" s="1">
        <v>61</v>
      </c>
      <c r="E9" s="1" t="s">
        <v>1</v>
      </c>
      <c r="F9" s="1">
        <v>1</v>
      </c>
      <c r="G9" s="1">
        <v>6.5</v>
      </c>
      <c r="H9" s="1">
        <v>6.8</v>
      </c>
      <c r="I9" s="8">
        <v>2</v>
      </c>
      <c r="J9" s="8">
        <v>2</v>
      </c>
      <c r="K9" s="8">
        <v>0</v>
      </c>
      <c r="L9" s="1">
        <v>1.21</v>
      </c>
      <c r="M9" s="1" t="s">
        <v>21</v>
      </c>
      <c r="N9" s="1" t="s">
        <v>21</v>
      </c>
      <c r="O9" s="4" t="s">
        <v>22</v>
      </c>
    </row>
    <row r="10" spans="1:15" ht="20" x14ac:dyDescent="0.4">
      <c r="A10" s="3" t="s">
        <v>34</v>
      </c>
      <c r="B10" s="3">
        <v>1</v>
      </c>
      <c r="C10" s="3">
        <v>2</v>
      </c>
      <c r="D10" s="3">
        <v>73</v>
      </c>
      <c r="E10" s="3" t="s">
        <v>1</v>
      </c>
      <c r="F10" s="3">
        <v>180</v>
      </c>
      <c r="G10" s="3">
        <v>2.8</v>
      </c>
      <c r="H10" s="3">
        <v>6.8</v>
      </c>
      <c r="I10" s="9">
        <v>3</v>
      </c>
      <c r="J10" s="9">
        <v>17</v>
      </c>
      <c r="K10" s="9">
        <v>0</v>
      </c>
      <c r="L10" s="3">
        <v>2.67</v>
      </c>
      <c r="M10" s="3" t="s">
        <v>35</v>
      </c>
      <c r="N10" s="3" t="s">
        <v>35</v>
      </c>
      <c r="O10" s="3" t="s">
        <v>36</v>
      </c>
    </row>
    <row r="11" spans="1:15" ht="20" x14ac:dyDescent="0.4">
      <c r="A11" s="3" t="s">
        <v>37</v>
      </c>
      <c r="B11" s="2">
        <v>1</v>
      </c>
      <c r="C11" s="2" t="s">
        <v>38</v>
      </c>
      <c r="D11" s="2" t="s">
        <v>39</v>
      </c>
      <c r="E11" s="2" t="s">
        <v>1</v>
      </c>
      <c r="F11" s="2">
        <v>0</v>
      </c>
      <c r="G11" s="2">
        <v>4</v>
      </c>
      <c r="H11" s="2" t="s">
        <v>40</v>
      </c>
      <c r="I11" s="8">
        <v>23</v>
      </c>
      <c r="J11" s="8">
        <v>17</v>
      </c>
      <c r="K11" s="8">
        <v>34</v>
      </c>
      <c r="L11" s="2" t="s">
        <v>41</v>
      </c>
      <c r="M11" s="5" t="s">
        <v>105</v>
      </c>
      <c r="N11" s="6" t="s">
        <v>105</v>
      </c>
      <c r="O11" s="7" t="s">
        <v>105</v>
      </c>
    </row>
    <row r="12" spans="1:15" ht="20" x14ac:dyDescent="0.4">
      <c r="A12" s="3" t="s">
        <v>42</v>
      </c>
      <c r="B12" s="3">
        <v>1</v>
      </c>
      <c r="C12" s="3">
        <v>1</v>
      </c>
      <c r="D12" s="3">
        <v>54</v>
      </c>
      <c r="E12" s="3" t="s">
        <v>1</v>
      </c>
      <c r="F12" s="3">
        <v>252</v>
      </c>
      <c r="G12" s="3">
        <v>8.6</v>
      </c>
      <c r="H12" s="3">
        <v>7.1</v>
      </c>
      <c r="I12" s="9">
        <v>25</v>
      </c>
      <c r="J12" s="9">
        <v>28</v>
      </c>
      <c r="K12" s="9">
        <v>49</v>
      </c>
      <c r="L12" s="3">
        <v>6.52</v>
      </c>
      <c r="M12" s="1" t="s">
        <v>106</v>
      </c>
      <c r="N12" s="1" t="s">
        <v>106</v>
      </c>
      <c r="O12" s="1" t="s">
        <v>107</v>
      </c>
    </row>
    <row r="13" spans="1:15" ht="20" x14ac:dyDescent="0.4">
      <c r="A13" s="3" t="s">
        <v>43</v>
      </c>
      <c r="B13" s="3">
        <v>1</v>
      </c>
      <c r="C13" s="3">
        <v>2</v>
      </c>
      <c r="D13" s="3">
        <v>71</v>
      </c>
      <c r="E13" s="3" t="s">
        <v>1</v>
      </c>
      <c r="F13" s="3">
        <v>144</v>
      </c>
      <c r="G13" s="3">
        <v>3.58</v>
      </c>
      <c r="H13" s="3">
        <v>6.9</v>
      </c>
      <c r="I13" s="9">
        <v>7</v>
      </c>
      <c r="J13" s="9">
        <v>6</v>
      </c>
      <c r="K13" s="9">
        <v>0</v>
      </c>
      <c r="L13" s="3">
        <v>5.98</v>
      </c>
      <c r="M13" s="3" t="s">
        <v>44</v>
      </c>
      <c r="N13" s="3" t="s">
        <v>44</v>
      </c>
      <c r="O13" s="3" t="s">
        <v>45</v>
      </c>
    </row>
    <row r="14" spans="1:15" ht="20" x14ac:dyDescent="0.4">
      <c r="A14" s="3" t="s">
        <v>46</v>
      </c>
      <c r="B14" s="2" t="s">
        <v>38</v>
      </c>
      <c r="C14" s="2" t="s">
        <v>47</v>
      </c>
      <c r="D14" s="2" t="s">
        <v>48</v>
      </c>
      <c r="E14" s="2" t="s">
        <v>1</v>
      </c>
      <c r="F14" s="2" t="s">
        <v>49</v>
      </c>
      <c r="G14" s="2" t="s">
        <v>50</v>
      </c>
      <c r="H14" s="2" t="s">
        <v>51</v>
      </c>
      <c r="I14" s="8" t="s">
        <v>41</v>
      </c>
      <c r="J14" s="8" t="s">
        <v>41</v>
      </c>
      <c r="K14" s="8" t="s">
        <v>41</v>
      </c>
      <c r="L14" s="2" t="s">
        <v>52</v>
      </c>
      <c r="M14" s="5" t="s">
        <v>105</v>
      </c>
      <c r="N14" s="6" t="s">
        <v>105</v>
      </c>
      <c r="O14" s="7" t="s">
        <v>105</v>
      </c>
    </row>
    <row r="15" spans="1:15" ht="20" x14ac:dyDescent="0.4">
      <c r="A15" s="3" t="s">
        <v>53</v>
      </c>
      <c r="B15" s="3">
        <v>1</v>
      </c>
      <c r="C15" s="3">
        <v>2</v>
      </c>
      <c r="D15" s="3">
        <v>56</v>
      </c>
      <c r="E15" s="3" t="s">
        <v>1</v>
      </c>
      <c r="F15" s="3">
        <v>60</v>
      </c>
      <c r="G15" s="3">
        <v>8.3000000000000007</v>
      </c>
      <c r="H15" s="3">
        <v>6.2</v>
      </c>
      <c r="I15" s="9">
        <v>0</v>
      </c>
      <c r="J15" s="9">
        <v>5</v>
      </c>
      <c r="K15" s="9">
        <v>33</v>
      </c>
      <c r="L15" s="3">
        <v>1</v>
      </c>
      <c r="M15" s="3"/>
      <c r="N15" s="3"/>
      <c r="O15" s="3" t="s">
        <v>54</v>
      </c>
    </row>
    <row r="16" spans="1:15" ht="20" x14ac:dyDescent="0.4">
      <c r="A16" s="3" t="s">
        <v>55</v>
      </c>
      <c r="B16" s="2" t="s">
        <v>47</v>
      </c>
      <c r="C16" s="2" t="s">
        <v>38</v>
      </c>
      <c r="D16" s="2" t="s">
        <v>56</v>
      </c>
      <c r="E16" s="2" t="s">
        <v>57</v>
      </c>
      <c r="F16" s="2" t="s">
        <v>58</v>
      </c>
      <c r="G16" s="2" t="s">
        <v>41</v>
      </c>
      <c r="H16" s="2" t="s">
        <v>59</v>
      </c>
      <c r="I16" s="8" t="s">
        <v>60</v>
      </c>
      <c r="J16" s="8" t="s">
        <v>41</v>
      </c>
      <c r="K16" s="8" t="s">
        <v>61</v>
      </c>
      <c r="L16" s="2" t="s">
        <v>62</v>
      </c>
      <c r="M16" s="5" t="s">
        <v>105</v>
      </c>
      <c r="N16" s="6" t="s">
        <v>105</v>
      </c>
      <c r="O16" s="7" t="s">
        <v>105</v>
      </c>
    </row>
    <row r="17" spans="1:15" ht="20" x14ac:dyDescent="0.4">
      <c r="A17" s="3" t="s">
        <v>63</v>
      </c>
      <c r="B17" s="1" t="s">
        <v>47</v>
      </c>
      <c r="C17" s="1" t="s">
        <v>38</v>
      </c>
      <c r="D17" s="1" t="s">
        <v>64</v>
      </c>
      <c r="E17" s="1" t="s">
        <v>1</v>
      </c>
      <c r="F17" s="1" t="s">
        <v>65</v>
      </c>
      <c r="G17" s="1" t="s">
        <v>66</v>
      </c>
      <c r="H17" s="1" t="s">
        <v>67</v>
      </c>
      <c r="I17" s="8" t="s">
        <v>68</v>
      </c>
      <c r="J17" s="8" t="s">
        <v>60</v>
      </c>
      <c r="K17" s="8" t="s">
        <v>41</v>
      </c>
      <c r="L17" s="1" t="s">
        <v>69</v>
      </c>
      <c r="M17" s="1" t="s">
        <v>70</v>
      </c>
      <c r="N17" s="1" t="s">
        <v>70</v>
      </c>
      <c r="O17" s="1" t="s">
        <v>71</v>
      </c>
    </row>
    <row r="18" spans="1:15" ht="20" x14ac:dyDescent="0.4">
      <c r="A18" s="3" t="s">
        <v>72</v>
      </c>
      <c r="B18" s="1" t="s">
        <v>47</v>
      </c>
      <c r="C18" s="1" t="s">
        <v>38</v>
      </c>
      <c r="D18" s="1" t="s">
        <v>73</v>
      </c>
      <c r="E18" s="1" t="s">
        <v>1</v>
      </c>
      <c r="F18" s="1" t="s">
        <v>74</v>
      </c>
      <c r="G18" s="1" t="s">
        <v>41</v>
      </c>
      <c r="H18" s="1" t="s">
        <v>40</v>
      </c>
      <c r="I18" s="8" t="s">
        <v>60</v>
      </c>
      <c r="J18" s="8" t="s">
        <v>75</v>
      </c>
      <c r="K18" s="8" t="s">
        <v>68</v>
      </c>
      <c r="L18" s="1" t="s">
        <v>76</v>
      </c>
      <c r="M18" s="1" t="s">
        <v>77</v>
      </c>
      <c r="N18" s="1" t="s">
        <v>77</v>
      </c>
      <c r="O18" s="1"/>
    </row>
    <row r="19" spans="1:15" ht="20" x14ac:dyDescent="0.4">
      <c r="A19" s="3" t="s">
        <v>78</v>
      </c>
      <c r="B19" s="1" t="s">
        <v>47</v>
      </c>
      <c r="C19" s="1" t="s">
        <v>38</v>
      </c>
      <c r="D19" s="1" t="s">
        <v>64</v>
      </c>
      <c r="E19" s="1" t="s">
        <v>57</v>
      </c>
      <c r="F19" s="1" t="s">
        <v>79</v>
      </c>
      <c r="G19" s="1" t="s">
        <v>80</v>
      </c>
      <c r="H19" s="1" t="s">
        <v>60</v>
      </c>
      <c r="I19" s="8" t="s">
        <v>81</v>
      </c>
      <c r="J19" s="8" t="s">
        <v>82</v>
      </c>
      <c r="K19" s="8" t="s">
        <v>41</v>
      </c>
      <c r="L19" s="1" t="s">
        <v>83</v>
      </c>
      <c r="M19" s="1" t="s">
        <v>84</v>
      </c>
      <c r="N19" s="1" t="s">
        <v>84</v>
      </c>
      <c r="O19" s="1" t="s">
        <v>85</v>
      </c>
    </row>
    <row r="20" spans="1:15" ht="20" x14ac:dyDescent="0.4">
      <c r="A20" s="3" t="s">
        <v>86</v>
      </c>
      <c r="B20" s="1" t="s">
        <v>47</v>
      </c>
      <c r="C20" s="1" t="s">
        <v>38</v>
      </c>
      <c r="D20" s="1" t="s">
        <v>87</v>
      </c>
      <c r="E20" s="1" t="s">
        <v>1</v>
      </c>
      <c r="F20" s="1" t="s">
        <v>88</v>
      </c>
      <c r="G20" s="1" t="s">
        <v>89</v>
      </c>
      <c r="H20" s="1" t="s">
        <v>90</v>
      </c>
      <c r="I20" s="8" t="s">
        <v>91</v>
      </c>
      <c r="J20" s="8" t="s">
        <v>51</v>
      </c>
      <c r="K20" s="8" t="s">
        <v>41</v>
      </c>
      <c r="L20" s="1" t="s">
        <v>92</v>
      </c>
      <c r="M20" s="1" t="s">
        <v>93</v>
      </c>
      <c r="N20" s="1" t="s">
        <v>93</v>
      </c>
      <c r="O20" s="1" t="s">
        <v>94</v>
      </c>
    </row>
    <row r="21" spans="1:15" ht="20" x14ac:dyDescent="0.4">
      <c r="A21" s="3" t="s">
        <v>95</v>
      </c>
      <c r="B21" s="3">
        <v>2</v>
      </c>
      <c r="C21" s="3">
        <v>1</v>
      </c>
      <c r="D21" s="3">
        <v>22</v>
      </c>
      <c r="E21" s="3" t="s">
        <v>1</v>
      </c>
      <c r="F21" s="3">
        <v>36</v>
      </c>
      <c r="G21" s="3"/>
      <c r="H21" s="3">
        <v>6.9</v>
      </c>
      <c r="I21" s="9">
        <v>0</v>
      </c>
      <c r="J21" s="9">
        <v>0</v>
      </c>
      <c r="K21" s="9">
        <v>0</v>
      </c>
      <c r="L21" s="3">
        <v>5.34</v>
      </c>
      <c r="M21" s="3" t="s">
        <v>96</v>
      </c>
      <c r="N21" s="3" t="s">
        <v>96</v>
      </c>
      <c r="O21" s="3" t="s">
        <v>97</v>
      </c>
    </row>
    <row r="22" spans="1:15" ht="20" x14ac:dyDescent="0.4">
      <c r="A22" s="3" t="s">
        <v>98</v>
      </c>
      <c r="B22" s="3">
        <v>2</v>
      </c>
      <c r="C22" s="3">
        <v>2</v>
      </c>
      <c r="D22" s="3">
        <v>35</v>
      </c>
      <c r="E22" s="3" t="s">
        <v>1</v>
      </c>
      <c r="F22" s="3">
        <v>132</v>
      </c>
      <c r="G22" s="3">
        <v>13.1</v>
      </c>
      <c r="H22" s="3">
        <v>5.8</v>
      </c>
      <c r="I22" s="9">
        <v>0</v>
      </c>
      <c r="J22" s="9">
        <v>3</v>
      </c>
      <c r="K22" s="9">
        <v>0</v>
      </c>
      <c r="L22" s="3">
        <v>5.1100000000000003</v>
      </c>
      <c r="M22" s="3" t="s">
        <v>99</v>
      </c>
      <c r="N22" s="3" t="s">
        <v>99</v>
      </c>
      <c r="O22" s="3" t="s">
        <v>100</v>
      </c>
    </row>
    <row r="23" spans="1:15" ht="20" x14ac:dyDescent="0.4">
      <c r="A23" s="3" t="s">
        <v>101</v>
      </c>
      <c r="B23" s="3">
        <v>2</v>
      </c>
      <c r="C23" s="3">
        <v>2</v>
      </c>
      <c r="D23" s="3">
        <v>67</v>
      </c>
      <c r="E23" s="3" t="s">
        <v>57</v>
      </c>
      <c r="F23" s="3">
        <v>36</v>
      </c>
      <c r="G23" s="3"/>
      <c r="H23" s="3">
        <v>9</v>
      </c>
      <c r="I23" s="9">
        <v>5</v>
      </c>
      <c r="J23" s="9">
        <v>2</v>
      </c>
      <c r="K23" s="9">
        <v>0</v>
      </c>
      <c r="L23" s="3">
        <v>9.58</v>
      </c>
      <c r="M23" s="1"/>
      <c r="N23" s="1"/>
      <c r="O23" s="3" t="s">
        <v>102</v>
      </c>
    </row>
    <row r="24" spans="1:15" ht="20" x14ac:dyDescent="0.4">
      <c r="A24" s="3" t="s">
        <v>103</v>
      </c>
      <c r="B24" s="3">
        <v>1</v>
      </c>
      <c r="C24" s="3">
        <v>2</v>
      </c>
      <c r="D24" s="3">
        <v>69</v>
      </c>
      <c r="E24" s="3" t="s">
        <v>1</v>
      </c>
      <c r="F24" s="3">
        <v>12</v>
      </c>
      <c r="G24" s="3"/>
      <c r="H24" s="3">
        <v>9.8000000000000007</v>
      </c>
      <c r="I24" s="9">
        <v>5</v>
      </c>
      <c r="J24" s="9">
        <v>10</v>
      </c>
      <c r="K24" s="9">
        <v>12</v>
      </c>
      <c r="L24" s="3">
        <v>0.25</v>
      </c>
      <c r="M24" s="1"/>
      <c r="N24" s="1"/>
      <c r="O24" s="3" t="s">
        <v>104</v>
      </c>
    </row>
    <row r="25" spans="1:15" ht="20" x14ac:dyDescent="0.4">
      <c r="A25" s="11" t="s">
        <v>116</v>
      </c>
      <c r="B25" s="1">
        <v>0</v>
      </c>
      <c r="C25" s="1" t="s">
        <v>41</v>
      </c>
      <c r="D25" s="1">
        <v>47</v>
      </c>
      <c r="E25" s="1" t="s">
        <v>1</v>
      </c>
      <c r="F25" s="1" t="s">
        <v>41</v>
      </c>
      <c r="G25" s="1"/>
      <c r="H25" s="1"/>
      <c r="I25" s="9">
        <v>0</v>
      </c>
      <c r="J25" s="9">
        <v>0</v>
      </c>
      <c r="K25" s="9">
        <v>0</v>
      </c>
      <c r="L25" s="1">
        <v>6.71</v>
      </c>
      <c r="M25" s="1"/>
      <c r="N25" s="1"/>
      <c r="O25" s="1" t="s">
        <v>117</v>
      </c>
    </row>
    <row r="26" spans="1:15" ht="20" x14ac:dyDescent="0.4">
      <c r="A26" s="11" t="s">
        <v>118</v>
      </c>
      <c r="B26" s="1">
        <v>0</v>
      </c>
      <c r="C26" s="1" t="s">
        <v>41</v>
      </c>
      <c r="D26" s="1">
        <v>66.5</v>
      </c>
      <c r="E26" s="1" t="s">
        <v>57</v>
      </c>
      <c r="F26" s="1" t="s">
        <v>41</v>
      </c>
      <c r="G26" s="3"/>
      <c r="I26" s="9">
        <v>0</v>
      </c>
      <c r="J26" s="9">
        <v>0</v>
      </c>
      <c r="K26" s="9">
        <v>0</v>
      </c>
      <c r="L26" s="1"/>
      <c r="M26" s="1" t="s">
        <v>119</v>
      </c>
      <c r="N26" s="1" t="s">
        <v>119</v>
      </c>
      <c r="O26" s="1" t="s">
        <v>120</v>
      </c>
    </row>
    <row r="27" spans="1:15" ht="20" x14ac:dyDescent="0.4">
      <c r="A27" s="11" t="s">
        <v>121</v>
      </c>
      <c r="B27" s="1">
        <v>0</v>
      </c>
      <c r="C27" s="1" t="s">
        <v>41</v>
      </c>
      <c r="D27" s="13">
        <v>64.5</v>
      </c>
      <c r="E27" s="1" t="s">
        <v>57</v>
      </c>
      <c r="F27" s="1" t="s">
        <v>41</v>
      </c>
      <c r="G27" s="3"/>
      <c r="H27" s="1"/>
      <c r="I27" s="9">
        <v>0</v>
      </c>
      <c r="J27" s="9">
        <v>0</v>
      </c>
      <c r="K27" s="9">
        <v>0</v>
      </c>
      <c r="L27" s="1"/>
      <c r="M27" s="1" t="s">
        <v>122</v>
      </c>
      <c r="N27" s="1" t="s">
        <v>122</v>
      </c>
      <c r="O27" s="1" t="s">
        <v>123</v>
      </c>
    </row>
    <row r="28" spans="1:15" ht="20" x14ac:dyDescent="0.4">
      <c r="A28" s="11" t="s">
        <v>124</v>
      </c>
      <c r="B28" s="1">
        <v>0</v>
      </c>
      <c r="C28" s="1" t="s">
        <v>41</v>
      </c>
      <c r="D28" s="1">
        <v>73</v>
      </c>
      <c r="E28" s="13" t="s">
        <v>1</v>
      </c>
      <c r="F28" s="1" t="s">
        <v>41</v>
      </c>
      <c r="G28" s="1"/>
      <c r="H28" s="1"/>
      <c r="I28" s="9">
        <v>0</v>
      </c>
      <c r="J28" s="9">
        <v>0</v>
      </c>
      <c r="K28" s="9">
        <v>0</v>
      </c>
      <c r="L28" s="1">
        <v>4.4000000000000004</v>
      </c>
      <c r="M28" s="1" t="s">
        <v>125</v>
      </c>
      <c r="N28" s="1" t="s">
        <v>125</v>
      </c>
      <c r="O28" s="1" t="s">
        <v>126</v>
      </c>
    </row>
    <row r="29" spans="1:15" ht="20" x14ac:dyDescent="0.4">
      <c r="A29" s="11" t="s">
        <v>127</v>
      </c>
      <c r="B29" s="1">
        <v>0</v>
      </c>
      <c r="C29" s="1" t="s">
        <v>41</v>
      </c>
      <c r="D29" s="1">
        <v>58</v>
      </c>
      <c r="E29" s="1" t="s">
        <v>57</v>
      </c>
      <c r="F29" s="1" t="s">
        <v>41</v>
      </c>
      <c r="G29" s="3"/>
      <c r="H29" s="1"/>
      <c r="I29" s="9">
        <v>0</v>
      </c>
      <c r="J29" s="9">
        <v>0</v>
      </c>
      <c r="K29" s="9">
        <v>0</v>
      </c>
      <c r="L29" s="1">
        <v>2.76</v>
      </c>
      <c r="M29" s="1" t="s">
        <v>128</v>
      </c>
      <c r="N29" s="1" t="s">
        <v>128</v>
      </c>
      <c r="O29" s="1" t="s">
        <v>129</v>
      </c>
    </row>
    <row r="30" spans="1:15" ht="20" x14ac:dyDescent="0.4">
      <c r="A30" s="12" t="s">
        <v>130</v>
      </c>
      <c r="B30" s="13">
        <v>0</v>
      </c>
      <c r="C30" s="13" t="s">
        <v>41</v>
      </c>
      <c r="D30" s="13">
        <v>32</v>
      </c>
      <c r="E30" s="13" t="s">
        <v>1</v>
      </c>
      <c r="F30" s="1" t="s">
        <v>41</v>
      </c>
      <c r="G30" s="3"/>
      <c r="H30" s="13"/>
      <c r="I30" s="9">
        <v>0</v>
      </c>
      <c r="J30" s="9">
        <v>0</v>
      </c>
      <c r="K30" s="9">
        <v>0</v>
      </c>
      <c r="L30" s="13">
        <v>6.21</v>
      </c>
      <c r="M30" s="13" t="s">
        <v>131</v>
      </c>
      <c r="N30" s="13" t="s">
        <v>131</v>
      </c>
      <c r="O30" s="13"/>
    </row>
    <row r="31" spans="1:15" ht="20" x14ac:dyDescent="0.4">
      <c r="A31" s="12" t="s">
        <v>132</v>
      </c>
      <c r="B31" s="13">
        <v>0</v>
      </c>
      <c r="C31" s="13" t="s">
        <v>41</v>
      </c>
      <c r="D31" s="13">
        <v>75</v>
      </c>
      <c r="E31" s="13" t="s">
        <v>1</v>
      </c>
      <c r="F31" s="1" t="s">
        <v>41</v>
      </c>
      <c r="G31" s="1"/>
      <c r="H31" s="13"/>
      <c r="I31" s="9">
        <v>0</v>
      </c>
      <c r="J31" s="9">
        <v>0</v>
      </c>
      <c r="K31" s="9">
        <v>0</v>
      </c>
      <c r="L31" s="13">
        <v>10.029999999999999</v>
      </c>
      <c r="M31" s="13" t="s">
        <v>133</v>
      </c>
      <c r="N31" s="13" t="s">
        <v>133</v>
      </c>
      <c r="O31" s="13"/>
    </row>
    <row r="32" spans="1:15" ht="20" x14ac:dyDescent="0.4">
      <c r="A32" s="12" t="s">
        <v>134</v>
      </c>
      <c r="B32" s="13">
        <v>0</v>
      </c>
      <c r="C32" s="13" t="s">
        <v>41</v>
      </c>
      <c r="D32" s="1">
        <v>54.5</v>
      </c>
      <c r="E32" s="1" t="s">
        <v>57</v>
      </c>
      <c r="F32" s="1" t="s">
        <v>41</v>
      </c>
      <c r="G32" s="3"/>
      <c r="H32" s="13"/>
      <c r="I32" s="9">
        <v>0</v>
      </c>
      <c r="J32" s="9">
        <v>0</v>
      </c>
      <c r="K32" s="9">
        <v>0</v>
      </c>
      <c r="L32" s="13"/>
      <c r="M32" s="13" t="s">
        <v>135</v>
      </c>
      <c r="N32" s="13" t="s">
        <v>135</v>
      </c>
      <c r="O32" s="13" t="s">
        <v>136</v>
      </c>
    </row>
    <row r="33" spans="1:15" ht="20" x14ac:dyDescent="0.4">
      <c r="A33" s="13" t="s">
        <v>137</v>
      </c>
      <c r="B33" s="1">
        <v>0</v>
      </c>
      <c r="C33" s="1" t="s">
        <v>41</v>
      </c>
      <c r="D33" s="1">
        <v>52.5</v>
      </c>
      <c r="E33" s="1" t="s">
        <v>57</v>
      </c>
      <c r="F33" s="1" t="s">
        <v>41</v>
      </c>
      <c r="G33" s="3"/>
      <c r="H33" s="14"/>
      <c r="I33" s="9">
        <v>0</v>
      </c>
      <c r="J33" s="9">
        <v>0</v>
      </c>
      <c r="K33" s="9">
        <v>0</v>
      </c>
      <c r="L33" s="14"/>
      <c r="M33" s="1" t="s">
        <v>138</v>
      </c>
      <c r="N33" s="1" t="s">
        <v>138</v>
      </c>
      <c r="O33" s="1" t="s">
        <v>149</v>
      </c>
    </row>
    <row r="34" spans="1:15" ht="20" x14ac:dyDescent="0.4">
      <c r="A34" s="13" t="s">
        <v>139</v>
      </c>
      <c r="B34" s="1">
        <v>0</v>
      </c>
      <c r="C34" s="1" t="s">
        <v>41</v>
      </c>
      <c r="D34" s="13">
        <v>50.5</v>
      </c>
      <c r="E34" s="13" t="s">
        <v>1</v>
      </c>
      <c r="F34" s="1" t="s">
        <v>41</v>
      </c>
      <c r="G34" s="1"/>
      <c r="H34" s="14"/>
      <c r="I34" s="9">
        <v>0</v>
      </c>
      <c r="J34" s="9">
        <v>0</v>
      </c>
      <c r="K34" s="9">
        <v>0</v>
      </c>
      <c r="L34" s="14"/>
      <c r="M34" s="1" t="s">
        <v>140</v>
      </c>
      <c r="N34" s="1" t="s">
        <v>140</v>
      </c>
      <c r="O34" s="1" t="s">
        <v>150</v>
      </c>
    </row>
    <row r="35" spans="1:15" ht="20" x14ac:dyDescent="0.4">
      <c r="A35" s="13" t="s">
        <v>141</v>
      </c>
      <c r="B35" s="1">
        <v>0</v>
      </c>
      <c r="C35" s="1" t="s">
        <v>41</v>
      </c>
      <c r="D35" s="13">
        <v>48.5</v>
      </c>
      <c r="E35" s="13" t="s">
        <v>1</v>
      </c>
      <c r="F35" s="1" t="s">
        <v>41</v>
      </c>
      <c r="G35" s="3"/>
      <c r="H35" s="14"/>
      <c r="I35" s="9">
        <v>0</v>
      </c>
      <c r="J35" s="9">
        <v>0</v>
      </c>
      <c r="K35" s="9">
        <v>0</v>
      </c>
      <c r="L35" s="14"/>
      <c r="M35" s="1" t="s">
        <v>142</v>
      </c>
      <c r="N35" s="1" t="s">
        <v>142</v>
      </c>
      <c r="O35" s="1" t="s">
        <v>151</v>
      </c>
    </row>
    <row r="36" spans="1:15" ht="20" x14ac:dyDescent="0.4">
      <c r="A36" s="13" t="s">
        <v>143</v>
      </c>
      <c r="B36" s="1">
        <v>0</v>
      </c>
      <c r="C36" s="1" t="s">
        <v>41</v>
      </c>
      <c r="D36" s="1">
        <v>46.5</v>
      </c>
      <c r="E36" s="1" t="s">
        <v>57</v>
      </c>
      <c r="F36" s="1" t="s">
        <v>41</v>
      </c>
      <c r="G36" s="3"/>
      <c r="H36" s="14"/>
      <c r="I36" s="9">
        <v>0</v>
      </c>
      <c r="J36" s="9">
        <v>0</v>
      </c>
      <c r="K36" s="9">
        <v>0</v>
      </c>
      <c r="L36" s="14"/>
      <c r="M36" s="1" t="s">
        <v>144</v>
      </c>
      <c r="N36" s="1" t="s">
        <v>144</v>
      </c>
      <c r="O36" s="1" t="s">
        <v>152</v>
      </c>
    </row>
    <row r="37" spans="1:15" ht="20" x14ac:dyDescent="0.4">
      <c r="A37" s="13" t="s">
        <v>145</v>
      </c>
      <c r="B37" s="1">
        <v>0</v>
      </c>
      <c r="C37" s="13" t="s">
        <v>41</v>
      </c>
      <c r="D37" s="1">
        <v>44.5</v>
      </c>
      <c r="E37" s="1" t="s">
        <v>57</v>
      </c>
      <c r="F37" s="1" t="s">
        <v>41</v>
      </c>
      <c r="G37" s="1"/>
      <c r="H37" s="14"/>
      <c r="I37" s="9">
        <v>0</v>
      </c>
      <c r="J37" s="9">
        <v>0</v>
      </c>
      <c r="K37" s="9">
        <v>0</v>
      </c>
      <c r="L37" s="14"/>
      <c r="M37" s="1" t="s">
        <v>146</v>
      </c>
      <c r="N37" s="1" t="s">
        <v>146</v>
      </c>
      <c r="O37" s="1" t="s">
        <v>153</v>
      </c>
    </row>
    <row r="38" spans="1:15" ht="20" x14ac:dyDescent="0.4">
      <c r="A38" s="13" t="s">
        <v>147</v>
      </c>
      <c r="B38" s="13">
        <v>0</v>
      </c>
      <c r="C38" s="13" t="s">
        <v>41</v>
      </c>
      <c r="D38" s="13">
        <v>42.5</v>
      </c>
      <c r="E38" s="13" t="s">
        <v>1</v>
      </c>
      <c r="F38" s="1" t="s">
        <v>41</v>
      </c>
      <c r="G38" s="3"/>
      <c r="H38" s="14"/>
      <c r="I38" s="9">
        <v>0</v>
      </c>
      <c r="J38" s="9">
        <v>0</v>
      </c>
      <c r="K38" s="9">
        <v>0</v>
      </c>
      <c r="L38" s="14"/>
      <c r="M38" s="1" t="s">
        <v>148</v>
      </c>
      <c r="N38" s="1" t="s">
        <v>148</v>
      </c>
      <c r="O38" s="1" t="s">
        <v>154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6347-FF3C-417B-BD69-509E5A1A5B43}">
  <dimension ref="I8:J31"/>
  <sheetViews>
    <sheetView workbookViewId="0">
      <selection activeCell="N4" sqref="N4"/>
    </sheetView>
  </sheetViews>
  <sheetFormatPr defaultRowHeight="14.5" x14ac:dyDescent="0.35"/>
  <sheetData>
    <row r="8" spans="9:10" ht="20" x14ac:dyDescent="0.4">
      <c r="I8" s="1" t="s">
        <v>115</v>
      </c>
      <c r="J8" s="10">
        <f>(I8)/12</f>
        <v>12</v>
      </c>
    </row>
    <row r="9" spans="9:10" ht="20" x14ac:dyDescent="0.4">
      <c r="I9" s="1">
        <v>75</v>
      </c>
      <c r="J9" s="10">
        <f t="shared" ref="J9:J31" si="0">(I9)/12</f>
        <v>6.25</v>
      </c>
    </row>
    <row r="10" spans="9:10" ht="20" x14ac:dyDescent="0.4">
      <c r="I10" s="1">
        <v>11</v>
      </c>
      <c r="J10" s="10">
        <f t="shared" si="0"/>
        <v>0.91666666666666663</v>
      </c>
    </row>
    <row r="11" spans="9:10" ht="20" x14ac:dyDescent="0.4">
      <c r="I11" s="1">
        <v>180</v>
      </c>
      <c r="J11" s="10">
        <f t="shared" si="0"/>
        <v>15</v>
      </c>
    </row>
    <row r="12" spans="9:10" ht="20" x14ac:dyDescent="0.4">
      <c r="I12" s="1">
        <v>18</v>
      </c>
      <c r="J12" s="10">
        <f t="shared" si="0"/>
        <v>1.5</v>
      </c>
    </row>
    <row r="13" spans="9:10" ht="20" x14ac:dyDescent="0.4">
      <c r="I13" s="1">
        <v>144</v>
      </c>
      <c r="J13" s="10">
        <f t="shared" si="0"/>
        <v>12</v>
      </c>
    </row>
    <row r="14" spans="9:10" ht="20" x14ac:dyDescent="0.4">
      <c r="I14" s="1">
        <v>11</v>
      </c>
      <c r="J14" s="10">
        <f t="shared" si="0"/>
        <v>0.91666666666666663</v>
      </c>
    </row>
    <row r="15" spans="9:10" ht="20" x14ac:dyDescent="0.4">
      <c r="I15" s="1">
        <v>1</v>
      </c>
      <c r="J15" s="10">
        <f t="shared" si="0"/>
        <v>8.3333333333333329E-2</v>
      </c>
    </row>
    <row r="16" spans="9:10" ht="20" x14ac:dyDescent="0.4">
      <c r="I16" s="3">
        <v>180</v>
      </c>
      <c r="J16" s="10">
        <f t="shared" si="0"/>
        <v>15</v>
      </c>
    </row>
    <row r="17" spans="9:10" ht="20" x14ac:dyDescent="0.4">
      <c r="I17" s="2">
        <v>0</v>
      </c>
      <c r="J17" s="10">
        <f t="shared" si="0"/>
        <v>0</v>
      </c>
    </row>
    <row r="18" spans="9:10" ht="20" x14ac:dyDescent="0.4">
      <c r="I18" s="3">
        <v>252</v>
      </c>
      <c r="J18" s="10">
        <f t="shared" si="0"/>
        <v>21</v>
      </c>
    </row>
    <row r="19" spans="9:10" ht="20" x14ac:dyDescent="0.4">
      <c r="I19" s="3">
        <v>144</v>
      </c>
      <c r="J19" s="10">
        <f t="shared" si="0"/>
        <v>12</v>
      </c>
    </row>
    <row r="20" spans="9:10" ht="20" x14ac:dyDescent="0.4">
      <c r="I20" s="2" t="s">
        <v>49</v>
      </c>
      <c r="J20" s="10">
        <f t="shared" si="0"/>
        <v>30</v>
      </c>
    </row>
    <row r="21" spans="9:10" ht="20" x14ac:dyDescent="0.4">
      <c r="I21" s="3">
        <v>60</v>
      </c>
      <c r="J21" s="10">
        <f t="shared" si="0"/>
        <v>5</v>
      </c>
    </row>
    <row r="22" spans="9:10" ht="20" x14ac:dyDescent="0.4">
      <c r="I22" s="2" t="s">
        <v>58</v>
      </c>
      <c r="J22" s="10">
        <f t="shared" si="0"/>
        <v>13</v>
      </c>
    </row>
    <row r="23" spans="9:10" ht="20" x14ac:dyDescent="0.4">
      <c r="I23" s="1" t="s">
        <v>65</v>
      </c>
      <c r="J23" s="10">
        <f t="shared" si="0"/>
        <v>10</v>
      </c>
    </row>
    <row r="24" spans="9:10" ht="20" x14ac:dyDescent="0.4">
      <c r="I24" s="1" t="s">
        <v>74</v>
      </c>
      <c r="J24" s="10">
        <f t="shared" si="0"/>
        <v>14</v>
      </c>
    </row>
    <row r="25" spans="9:10" ht="20" x14ac:dyDescent="0.4">
      <c r="I25" s="1"/>
      <c r="J25" s="10">
        <f t="shared" si="0"/>
        <v>0</v>
      </c>
    </row>
    <row r="26" spans="9:10" ht="20" x14ac:dyDescent="0.4">
      <c r="I26" s="1" t="s">
        <v>79</v>
      </c>
      <c r="J26" s="10">
        <f t="shared" si="0"/>
        <v>2</v>
      </c>
    </row>
    <row r="27" spans="9:10" ht="20" x14ac:dyDescent="0.4">
      <c r="I27" s="1" t="s">
        <v>88</v>
      </c>
      <c r="J27" s="10">
        <f t="shared" si="0"/>
        <v>9</v>
      </c>
    </row>
    <row r="28" spans="9:10" ht="20" x14ac:dyDescent="0.4">
      <c r="I28" s="3">
        <v>36</v>
      </c>
      <c r="J28" s="10">
        <f t="shared" si="0"/>
        <v>3</v>
      </c>
    </row>
    <row r="29" spans="9:10" ht="20" x14ac:dyDescent="0.4">
      <c r="I29" s="3">
        <v>132</v>
      </c>
      <c r="J29" s="10">
        <f t="shared" si="0"/>
        <v>11</v>
      </c>
    </row>
    <row r="30" spans="9:10" ht="20" x14ac:dyDescent="0.4">
      <c r="I30" s="3">
        <v>36</v>
      </c>
      <c r="J30" s="10">
        <f t="shared" si="0"/>
        <v>3</v>
      </c>
    </row>
    <row r="31" spans="9:10" ht="20" x14ac:dyDescent="0.4">
      <c r="I31" s="3">
        <v>12</v>
      </c>
      <c r="J31" s="10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da Cruz Neris Geßner</dc:creator>
  <cp:lastModifiedBy>Johannes Balkenhol</cp:lastModifiedBy>
  <dcterms:created xsi:type="dcterms:W3CDTF">2025-09-16T07:40:26Z</dcterms:created>
  <dcterms:modified xsi:type="dcterms:W3CDTF">2025-09-22T11:26:25Z</dcterms:modified>
</cp:coreProperties>
</file>